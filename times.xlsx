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ranking\"/>
    </mc:Choice>
  </mc:AlternateContent>
  <xr:revisionPtr revIDLastSave="0" documentId="13_ncr:1_{EAC16FD4-4E3C-446E-AEED-90F40F13DD1C}" xr6:coauthVersionLast="47" xr6:coauthVersionMax="47" xr10:uidLastSave="{00000000-0000-0000-0000-000000000000}"/>
  <bookViews>
    <workbookView xWindow="-4665" yWindow="-16320" windowWidth="38640" windowHeight="15720" xr2:uid="{79CEFD86-A5FE-4E80-AFD5-DD74517875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I13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</calcChain>
</file>

<file path=xl/sharedStrings.xml><?xml version="1.0" encoding="utf-8"?>
<sst xmlns="http://schemas.openxmlformats.org/spreadsheetml/2006/main" count="5" uniqueCount="5">
  <si>
    <t>Data</t>
  </si>
  <si>
    <t>Valor</t>
  </si>
  <si>
    <t>Quantidade</t>
  </si>
  <si>
    <t>Agente Agressor</t>
  </si>
  <si>
    <t>Agressor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</si>
</sst>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09:27:30.124</v>
        <stp/>
        <stp>T&amp;T0</stp>
        <stp>DAT</stp>
        <stp>8</stp>
        <tr r="H23" s="1"/>
      </tp>
      <tp t="s">
        <v>09:27:28.498</v>
        <stp/>
        <stp>T&amp;T0</stp>
        <stp>DAT</stp>
        <stp>9</stp>
        <tr r="H24" s="1"/>
      </tp>
      <tp t="s">
        <v>09:27:31.358</v>
        <stp/>
        <stp>T&amp;T0</stp>
        <stp>DAT</stp>
        <stp>6</stp>
        <tr r="H21" s="1"/>
      </tp>
      <tp t="s">
        <v>09:27:31.217</v>
        <stp/>
        <stp>T&amp;T0</stp>
        <stp>DAT</stp>
        <stp>7</stp>
        <tr r="H22" s="1"/>
      </tp>
      <tp t="s">
        <v>09:27:31.362</v>
        <stp/>
        <stp>T&amp;T0</stp>
        <stp>DAT</stp>
        <stp>4</stp>
        <tr r="H19" s="1"/>
      </tp>
      <tp t="s">
        <v>09:27:31.362</v>
        <stp/>
        <stp>T&amp;T0</stp>
        <stp>DAT</stp>
        <stp>5</stp>
        <tr r="H20" s="1"/>
      </tp>
      <tp t="s">
        <v>09:27:33.865</v>
        <stp/>
        <stp>T&amp;T0</stp>
        <stp>DAT</stp>
        <stp>2</stp>
        <tr r="H17" s="1"/>
      </tp>
      <tp t="s">
        <v>09:27:33.089</v>
        <stp/>
        <stp>T&amp;T0</stp>
        <stp>DAT</stp>
        <stp>3</stp>
        <tr r="H18" s="1"/>
      </tp>
      <tp t="s">
        <v>09:27:36.791</v>
        <stp/>
        <stp>T&amp;T0</stp>
        <stp>DAT</stp>
        <stp>0</stp>
        <tr r="H15" s="1"/>
      </tp>
      <tp t="s">
        <v>09:27:33.870</v>
        <stp/>
        <stp>T&amp;T0</stp>
        <stp>DAT</stp>
        <stp>1</stp>
        <tr r="H16" s="1"/>
      </tp>
      <tp t="s">
        <v>Vendedor</v>
        <stp/>
        <stp>T&amp;T0</stp>
        <stp>AGR</stp>
        <stp>9</stp>
        <tr r="L24" s="1"/>
      </tp>
      <tp t="s">
        <v>RLP</v>
        <stp/>
        <stp>T&amp;T0</stp>
        <stp>AGR</stp>
        <stp>8</stp>
        <tr r="L23" s="1"/>
      </tp>
      <tp t="s">
        <v>RLP</v>
        <stp/>
        <stp>T&amp;T0</stp>
        <stp>AGR</stp>
        <stp>3</stp>
        <tr r="L18" s="1"/>
      </tp>
      <tp t="s">
        <v>RLP</v>
        <stp/>
        <stp>T&amp;T0</stp>
        <stp>AGR</stp>
        <stp>2</stp>
        <tr r="L17" s="1"/>
      </tp>
      <tp t="s">
        <v>RLP</v>
        <stp/>
        <stp>T&amp;T0</stp>
        <stp>AGR</stp>
        <stp>1</stp>
        <tr r="L16" s="1"/>
      </tp>
      <tp t="s">
        <v>RLP</v>
        <stp/>
        <stp>T&amp;T0</stp>
        <stp>AGR</stp>
        <stp>0</stp>
        <tr r="L15" s="1"/>
      </tp>
      <tp t="s">
        <v>Comprador</v>
        <stp/>
        <stp>T&amp;T0</stp>
        <stp>AGR</stp>
        <stp>7</stp>
        <tr r="L22" s="1"/>
      </tp>
      <tp t="s">
        <v>Comprador</v>
        <stp/>
        <stp>T&amp;T0</stp>
        <stp>AGR</stp>
        <stp>6</stp>
        <tr r="L21" s="1"/>
      </tp>
      <tp t="s">
        <v>Vendedor</v>
        <stp/>
        <stp>T&amp;T0</stp>
        <stp>AGR</stp>
        <stp>5</stp>
        <tr r="L20" s="1"/>
      </tp>
      <tp t="s">
        <v>Vendedor</v>
        <stp/>
        <stp>T&amp;T0</stp>
        <stp>AGR</stp>
        <stp>4</stp>
        <tr r="L19" s="1"/>
      </tp>
      <tp t="s">
        <v>Agora</v>
        <stp/>
        <stp>T&amp;T0</stp>
        <stp>AGAG</stp>
        <stp>25</stp>
        <tr r="K40" s="1"/>
      </tp>
      <tp t="s">
        <v>Agora</v>
        <stp/>
        <stp>T&amp;T0</stp>
        <stp>AGAG</stp>
        <stp>24</stp>
        <tr r="K39" s="1"/>
      </tp>
      <tp t="s">
        <v>Necton</v>
        <stp/>
        <stp>T&amp;T0</stp>
        <stp>AGAG</stp>
        <stp>27</stp>
        <tr r="K42" s="1"/>
      </tp>
      <tp t="s">
        <v>Agora</v>
        <stp/>
        <stp>T&amp;T0</stp>
        <stp>AGAG</stp>
        <stp>26</stp>
        <tr r="K41" s="1"/>
      </tp>
      <tp t="s">
        <v>Ideal</v>
        <stp/>
        <stp>T&amp;T0</stp>
        <stp>AGAG</stp>
        <stp>21</stp>
        <tr r="K36" s="1"/>
      </tp>
      <tp t="s">
        <v>Ideal</v>
        <stp/>
        <stp>T&amp;T0</stp>
        <stp>AGAG</stp>
        <stp>20</stp>
        <tr r="K35" s="1"/>
      </tp>
      <tp t="s">
        <v>Ideal</v>
        <stp/>
        <stp>T&amp;T0</stp>
        <stp>AGAG</stp>
        <stp>23</stp>
        <tr r="K38" s="1"/>
      </tp>
      <tp t="s">
        <v>Ideal</v>
        <stp/>
        <stp>T&amp;T0</stp>
        <stp>AGAG</stp>
        <stp>22</stp>
        <tr r="K37" s="1"/>
      </tp>
      <tp t="s">
        <v>Ideal</v>
        <stp/>
        <stp>T&amp;T0</stp>
        <stp>AGAG</stp>
        <stp>29</stp>
        <tr r="K44" s="1"/>
      </tp>
      <tp t="s">
        <v>XP</v>
        <stp/>
        <stp>T&amp;T0</stp>
        <stp>AGAG</stp>
        <stp>28</stp>
        <tr r="K43" s="1"/>
      </tp>
      <tp t="s">
        <v>Santander</v>
        <stp/>
        <stp>T&amp;T0</stp>
        <stp>AGAG</stp>
        <stp>15</stp>
        <tr r="K30" s="1"/>
      </tp>
      <tp t="s">
        <v>Necton</v>
        <stp/>
        <stp>T&amp;T0</stp>
        <stp>AGAG</stp>
        <stp>14</stp>
        <tr r="K29" s="1"/>
      </tp>
      <tp t="s">
        <v>Ideal</v>
        <stp/>
        <stp>T&amp;T0</stp>
        <stp>AGAG</stp>
        <stp>17</stp>
        <tr r="K32" s="1"/>
      </tp>
      <tp t="s">
        <v>Ideal</v>
        <stp/>
        <stp>T&amp;T0</stp>
        <stp>AGAG</stp>
        <stp>16</stp>
        <tr r="K31" s="1"/>
      </tp>
      <tp t="s">
        <v>Santander</v>
        <stp/>
        <stp>T&amp;T0</stp>
        <stp>AGAG</stp>
        <stp>11</stp>
        <tr r="K26" s="1"/>
      </tp>
      <tp t="s">
        <v>Necton</v>
        <stp/>
        <stp>T&amp;T0</stp>
        <stp>AGAG</stp>
        <stp>10</stp>
        <tr r="K25" s="1"/>
      </tp>
      <tp t="s">
        <v>BTG</v>
        <stp/>
        <stp>T&amp;T0</stp>
        <stp>AGAG</stp>
        <stp>13</stp>
        <tr r="K28" s="1"/>
      </tp>
      <tp t="s">
        <v>BTG</v>
        <stp/>
        <stp>T&amp;T0</stp>
        <stp>AGAG</stp>
        <stp>12</stp>
        <tr r="K27" s="1"/>
      </tp>
      <tp t="s">
        <v>Ideal</v>
        <stp/>
        <stp>T&amp;T0</stp>
        <stp>AGAG</stp>
        <stp>19</stp>
        <tr r="K34" s="1"/>
      </tp>
      <tp t="s">
        <v>Ideal</v>
        <stp/>
        <stp>T&amp;T0</stp>
        <stp>AGAG</stp>
        <stp>18</stp>
        <tr r="K33" s="1"/>
      </tp>
      <tp>
        <v>5125</v>
        <stp/>
        <stp>T&amp;T0</stp>
        <stp>PRE</stp>
        <stp>8</stp>
        <tr r="I23" s="1"/>
      </tp>
      <tp>
        <v>5125.5</v>
        <stp/>
        <stp>T&amp;T0</stp>
        <stp>PRE</stp>
        <stp>9</stp>
        <tr r="I24" s="1"/>
      </tp>
      <tp>
        <v>5125</v>
        <stp/>
        <stp>T&amp;T0</stp>
        <stp>PRE</stp>
        <stp>2</stp>
        <tr r="I17" s="1"/>
      </tp>
      <tp>
        <v>5125.5</v>
        <stp/>
        <stp>T&amp;T0</stp>
        <stp>PRE</stp>
        <stp>3</stp>
        <tr r="I18" s="1"/>
      </tp>
      <tp>
        <v>5125</v>
        <stp/>
        <stp>T&amp;T0</stp>
        <stp>PRE</stp>
        <stp>0</stp>
        <tr r="I15" s="1"/>
      </tp>
      <tp>
        <v>5125.5</v>
        <stp/>
        <stp>T&amp;T0</stp>
        <stp>PRE</stp>
        <stp>1</stp>
        <tr r="I16" s="1"/>
      </tp>
      <tp>
        <v>5125.5</v>
        <stp/>
        <stp>T&amp;T0</stp>
        <stp>PRE</stp>
        <stp>6</stp>
        <tr r="I21" s="1"/>
      </tp>
      <tp>
        <v>5125.5</v>
        <stp/>
        <stp>T&amp;T0</stp>
        <stp>PRE</stp>
        <stp>7</stp>
        <tr r="I22" s="1"/>
      </tp>
      <tp>
        <v>5125</v>
        <stp/>
        <stp>T&amp;T0</stp>
        <stp>PRE</stp>
        <stp>4</stp>
        <tr r="I19" s="1"/>
      </tp>
      <tp>
        <v>5125</v>
        <stp/>
        <stp>T&amp;T0</stp>
        <stp>PRE</stp>
        <stp>5</stp>
        <tr r="I20" s="1"/>
      </tp>
      <tp>
        <v>6</v>
        <stp/>
        <stp>T&amp;T0</stp>
        <stp>QUL</stp>
        <stp>9</stp>
        <tr r="J24" s="1"/>
      </tp>
      <tp>
        <v>20</v>
        <stp/>
        <stp>T&amp;T0</stp>
        <stp>QUL</stp>
        <stp>8</stp>
        <tr r="J23" s="1"/>
      </tp>
      <tp>
        <v>9</v>
        <stp/>
        <stp>T&amp;T0</stp>
        <stp>QUL</stp>
        <stp>3</stp>
        <tr r="J18" s="1"/>
      </tp>
      <tp>
        <v>6</v>
        <stp/>
        <stp>T&amp;T0</stp>
        <stp>QUL</stp>
        <stp>2</stp>
        <tr r="J17" s="1"/>
      </tp>
      <tp>
        <v>12</v>
        <stp/>
        <stp>T&amp;T0</stp>
        <stp>QUL</stp>
        <stp>1</stp>
        <tr r="J16" s="1"/>
      </tp>
      <tp>
        <v>10</v>
        <stp/>
        <stp>T&amp;T0</stp>
        <stp>QUL</stp>
        <stp>0</stp>
        <tr r="J15" s="1"/>
      </tp>
      <tp>
        <v>15</v>
        <stp/>
        <stp>T&amp;T0</stp>
        <stp>QUL</stp>
        <stp>7</stp>
        <tr r="J22" s="1"/>
      </tp>
      <tp>
        <v>21</v>
        <stp/>
        <stp>T&amp;T0</stp>
        <stp>QUL</stp>
        <stp>6</stp>
        <tr r="J21" s="1"/>
      </tp>
      <tp>
        <v>10</v>
        <stp/>
        <stp>T&amp;T0</stp>
        <stp>QUL</stp>
        <stp>5</stp>
        <tr r="J20" s="1"/>
      </tp>
      <tp>
        <v>25</v>
        <stp/>
        <stp>T&amp;T0</stp>
        <stp>QUL</stp>
        <stp>4</stp>
        <tr r="J19" s="1"/>
      </tp>
      <tp t="s">
        <v>Negócios</v>
        <stp/>
        <stp>T&amp;T0</stp>
        <stp>INFO</stp>
        <stp>TAB</stp>
        <tr r="I13" s="1"/>
      </tp>
      <tp t="s">
        <v>UBS</v>
        <stp/>
        <stp>T&amp;T0</stp>
        <stp>AGAG</stp>
        <stp>9</stp>
        <tr r="K24" s="1"/>
      </tp>
      <tp t="s">
        <v>XP</v>
        <stp/>
        <stp>T&amp;T0</stp>
        <stp>AGAG</stp>
        <stp>8</stp>
        <tr r="K23" s="1"/>
      </tp>
      <tp t="s">
        <v>CM Capital</v>
        <stp/>
        <stp>T&amp;T0</stp>
        <stp>AGAG</stp>
        <stp>3</stp>
        <tr r="K18" s="1"/>
      </tp>
      <tp t="s">
        <v>BTG</v>
        <stp/>
        <stp>T&amp;T0</stp>
        <stp>AGAG</stp>
        <stp>2</stp>
        <tr r="K17" s="1"/>
      </tp>
      <tp t="s">
        <v>BTG</v>
        <stp/>
        <stp>T&amp;T0</stp>
        <stp>AGAG</stp>
        <stp>1</stp>
        <tr r="K16" s="1"/>
      </tp>
      <tp t="s">
        <v>XP</v>
        <stp/>
        <stp>T&amp;T0</stp>
        <stp>AGAG</stp>
        <stp>0</stp>
        <tr r="K15" s="1"/>
      </tp>
      <tp t="s">
        <v>Agora</v>
        <stp/>
        <stp>T&amp;T0</stp>
        <stp>AGAG</stp>
        <stp>7</stp>
        <tr r="K22" s="1"/>
      </tp>
      <tp t="s">
        <v>BTG</v>
        <stp/>
        <stp>T&amp;T0</stp>
        <stp>AGAG</stp>
        <stp>6</stp>
        <tr r="K21" s="1"/>
      </tp>
      <tp t="s">
        <v>BTG</v>
        <stp/>
        <stp>T&amp;T0</stp>
        <stp>AGAG</stp>
        <stp>5</stp>
        <tr r="K20" s="1"/>
      </tp>
      <tp t="s">
        <v>BTG</v>
        <stp/>
        <stp>T&amp;T0</stp>
        <stp>AGAG</stp>
        <stp>4</stp>
        <tr r="K19" s="1"/>
      </tp>
      <tp t="s">
        <v>DOLPRO</v>
        <stp/>
        <stp>T&amp;T0</stp>
        <stp>INFO</stp>
        <stp>ATV</stp>
        <tr r="H13" s="1"/>
      </tp>
      <tp>
        <v>5125</v>
        <stp/>
        <stp>T&amp;T0</stp>
        <stp>PRE</stp>
        <stp>28</stp>
        <tr r="I43" s="1"/>
      </tp>
      <tp>
        <v>5125.5</v>
        <stp/>
        <stp>T&amp;T0</stp>
        <stp>PRE</stp>
        <stp>29</stp>
        <tr r="I44" s="1"/>
      </tp>
      <tp>
        <v>5125</v>
        <stp/>
        <stp>T&amp;T0</stp>
        <stp>PRE</stp>
        <stp>26</stp>
        <tr r="I41" s="1"/>
      </tp>
      <tp>
        <v>5125</v>
        <stp/>
        <stp>T&amp;T0</stp>
        <stp>PRE</stp>
        <stp>27</stp>
        <tr r="I42" s="1"/>
      </tp>
      <tp>
        <v>5125</v>
        <stp/>
        <stp>T&amp;T0</stp>
        <stp>PRE</stp>
        <stp>24</stp>
        <tr r="I39" s="1"/>
      </tp>
      <tp>
        <v>5125</v>
        <stp/>
        <stp>T&amp;T0</stp>
        <stp>PRE</stp>
        <stp>25</stp>
        <tr r="I40" s="1"/>
      </tp>
      <tp>
        <v>5125.5</v>
        <stp/>
        <stp>T&amp;T0</stp>
        <stp>PRE</stp>
        <stp>22</stp>
        <tr r="I37" s="1"/>
      </tp>
      <tp>
        <v>5125.5</v>
        <stp/>
        <stp>T&amp;T0</stp>
        <stp>PRE</stp>
        <stp>23</stp>
        <tr r="I38" s="1"/>
      </tp>
      <tp>
        <v>5125.5</v>
        <stp/>
        <stp>T&amp;T0</stp>
        <stp>PRE</stp>
        <stp>20</stp>
        <tr r="I35" s="1"/>
      </tp>
      <tp>
        <v>5125.5</v>
        <stp/>
        <stp>T&amp;T0</stp>
        <stp>PRE</stp>
        <stp>21</stp>
        <tr r="I36" s="1"/>
      </tp>
      <tp>
        <v>11</v>
        <stp/>
        <stp>T&amp;T0</stp>
        <stp>QUL</stp>
        <stp>29</stp>
        <tr r="J44" s="1"/>
      </tp>
      <tp>
        <v>10</v>
        <stp/>
        <stp>T&amp;T0</stp>
        <stp>QUL</stp>
        <stp>28</stp>
        <tr r="J43" s="1"/>
      </tp>
      <tp>
        <v>25</v>
        <stp/>
        <stp>T&amp;T0</stp>
        <stp>QUL</stp>
        <stp>21</stp>
        <tr r="J36" s="1"/>
      </tp>
      <tp>
        <v>25</v>
        <stp/>
        <stp>T&amp;T0</stp>
        <stp>QUL</stp>
        <stp>20</stp>
        <tr r="J35" s="1"/>
      </tp>
      <tp>
        <v>22</v>
        <stp/>
        <stp>T&amp;T0</stp>
        <stp>QUL</stp>
        <stp>23</stp>
        <tr r="J38" s="1"/>
      </tp>
      <tp>
        <v>25</v>
        <stp/>
        <stp>T&amp;T0</stp>
        <stp>QUL</stp>
        <stp>22</stp>
        <tr r="J37" s="1"/>
      </tp>
      <tp>
        <v>6</v>
        <stp/>
        <stp>T&amp;T0</stp>
        <stp>QUL</stp>
        <stp>25</stp>
        <tr r="J40" s="1"/>
      </tp>
      <tp>
        <v>6</v>
        <stp/>
        <stp>T&amp;T0</stp>
        <stp>QUL</stp>
        <stp>24</stp>
        <tr r="J39" s="1"/>
      </tp>
      <tp>
        <v>22</v>
        <stp/>
        <stp>T&amp;T0</stp>
        <stp>QUL</stp>
        <stp>27</stp>
        <tr r="J42" s="1"/>
      </tp>
      <tp>
        <v>50</v>
        <stp/>
        <stp>T&amp;T0</stp>
        <stp>QUL</stp>
        <stp>26</stp>
        <tr r="J41" s="1"/>
      </tp>
      <tp>
        <v>6</v>
        <stp/>
        <stp>T&amp;T0</stp>
        <stp>QUL</stp>
        <stp>19</stp>
        <tr r="J34" s="1"/>
      </tp>
      <tp>
        <v>20</v>
        <stp/>
        <stp>T&amp;T0</stp>
        <stp>QUL</stp>
        <stp>18</stp>
        <tr r="J33" s="1"/>
      </tp>
      <tp>
        <v>14</v>
        <stp/>
        <stp>T&amp;T0</stp>
        <stp>QUL</stp>
        <stp>11</stp>
        <tr r="J26" s="1"/>
      </tp>
      <tp>
        <v>21</v>
        <stp/>
        <stp>T&amp;T0</stp>
        <stp>QUL</stp>
        <stp>10</stp>
        <tr r="J25" s="1"/>
      </tp>
      <tp>
        <v>15</v>
        <stp/>
        <stp>T&amp;T0</stp>
        <stp>QUL</stp>
        <stp>13</stp>
        <tr r="J28" s="1"/>
      </tp>
      <tp>
        <v>40</v>
        <stp/>
        <stp>T&amp;T0</stp>
        <stp>QUL</stp>
        <stp>12</stp>
        <tr r="J27" s="1"/>
      </tp>
      <tp>
        <v>8</v>
        <stp/>
        <stp>T&amp;T0</stp>
        <stp>QUL</stp>
        <stp>15</stp>
        <tr r="J30" s="1"/>
      </tp>
      <tp>
        <v>25</v>
        <stp/>
        <stp>T&amp;T0</stp>
        <stp>QUL</stp>
        <stp>14</stp>
        <tr r="J29" s="1"/>
      </tp>
      <tp>
        <v>10</v>
        <stp/>
        <stp>T&amp;T0</stp>
        <stp>QUL</stp>
        <stp>17</stp>
        <tr r="J32" s="1"/>
      </tp>
      <tp>
        <v>6</v>
        <stp/>
        <stp>T&amp;T0</stp>
        <stp>QUL</stp>
        <stp>16</stp>
        <tr r="J31" s="1"/>
      </tp>
      <tp>
        <v>5125.5</v>
        <stp/>
        <stp>T&amp;T0</stp>
        <stp>PRE</stp>
        <stp>18</stp>
        <tr r="I33" s="1"/>
      </tp>
      <tp>
        <v>5125.5</v>
        <stp/>
        <stp>T&amp;T0</stp>
        <stp>PRE</stp>
        <stp>19</stp>
        <tr r="I34" s="1"/>
      </tp>
      <tp>
        <v>5126</v>
        <stp/>
        <stp>T&amp;T0</stp>
        <stp>PRE</stp>
        <stp>16</stp>
        <tr r="I31" s="1"/>
      </tp>
      <tp>
        <v>5125.5</v>
        <stp/>
        <stp>T&amp;T0</stp>
        <stp>PRE</stp>
        <stp>17</stp>
        <tr r="I32" s="1"/>
      </tp>
      <tp>
        <v>5125.5</v>
        <stp/>
        <stp>T&amp;T0</stp>
        <stp>PRE</stp>
        <stp>14</stp>
        <tr r="I29" s="1"/>
      </tp>
      <tp>
        <v>5125.5</v>
        <stp/>
        <stp>T&amp;T0</stp>
        <stp>PRE</stp>
        <stp>15</stp>
        <tr r="I30" s="1"/>
      </tp>
      <tp>
        <v>5126</v>
        <stp/>
        <stp>T&amp;T0</stp>
        <stp>PRE</stp>
        <stp>12</stp>
        <tr r="I27" s="1"/>
      </tp>
      <tp>
        <v>5126</v>
        <stp/>
        <stp>T&amp;T0</stp>
        <stp>PRE</stp>
        <stp>13</stp>
        <tr r="I28" s="1"/>
      </tp>
      <tp>
        <v>5125.5</v>
        <stp/>
        <stp>T&amp;T0</stp>
        <stp>PRE</stp>
        <stp>10</stp>
        <tr r="I25" s="1"/>
      </tp>
      <tp>
        <v>5125.5</v>
        <stp/>
        <stp>T&amp;T0</stp>
        <stp>PRE</stp>
        <stp>11</stp>
        <tr r="I26" s="1"/>
      </tp>
      <tp t="s">
        <v>Comprador</v>
        <stp/>
        <stp>T&amp;T0</stp>
        <stp>AGR</stp>
        <stp>29</stp>
        <tr r="L44" s="1"/>
      </tp>
      <tp t="s">
        <v>RLP</v>
        <stp/>
        <stp>T&amp;T0</stp>
        <stp>AGR</stp>
        <stp>28</stp>
        <tr r="L43" s="1"/>
      </tp>
      <tp t="s">
        <v>Comprador</v>
        <stp/>
        <stp>T&amp;T0</stp>
        <stp>AGR</stp>
        <stp>23</stp>
        <tr r="L38" s="1"/>
      </tp>
      <tp t="s">
        <v>Comprador</v>
        <stp/>
        <stp>T&amp;T0</stp>
        <stp>AGR</stp>
        <stp>22</stp>
        <tr r="L37" s="1"/>
      </tp>
      <tp t="s">
        <v>Comprador</v>
        <stp/>
        <stp>T&amp;T0</stp>
        <stp>AGR</stp>
        <stp>21</stp>
        <tr r="L36" s="1"/>
      </tp>
      <tp t="s">
        <v>Comprador</v>
        <stp/>
        <stp>T&amp;T0</stp>
        <stp>AGR</stp>
        <stp>20</stp>
        <tr r="L35" s="1"/>
      </tp>
      <tp t="s">
        <v>Vendedor</v>
        <stp/>
        <stp>T&amp;T0</stp>
        <stp>AGR</stp>
        <stp>27</stp>
        <tr r="L42" s="1"/>
      </tp>
      <tp t="s">
        <v>Vendedor</v>
        <stp/>
        <stp>T&amp;T0</stp>
        <stp>AGR</stp>
        <stp>26</stp>
        <tr r="L41" s="1"/>
      </tp>
      <tp t="s">
        <v>Vendedor</v>
        <stp/>
        <stp>T&amp;T0</stp>
        <stp>AGR</stp>
        <stp>25</stp>
        <tr r="L40" s="1"/>
      </tp>
      <tp t="s">
        <v>Vendedor</v>
        <stp/>
        <stp>T&amp;T0</stp>
        <stp>AGR</stp>
        <stp>24</stp>
        <tr r="L39" s="1"/>
      </tp>
      <tp t="s">
        <v>Comprador</v>
        <stp/>
        <stp>T&amp;T0</stp>
        <stp>AGR</stp>
        <stp>19</stp>
        <tr r="L34" s="1"/>
      </tp>
      <tp t="s">
        <v>Comprador</v>
        <stp/>
        <stp>T&amp;T0</stp>
        <stp>AGR</stp>
        <stp>18</stp>
        <tr r="L33" s="1"/>
      </tp>
      <tp t="s">
        <v>RLP</v>
        <stp/>
        <stp>T&amp;T0</stp>
        <stp>AGR</stp>
        <stp>13</stp>
        <tr r="L28" s="1"/>
      </tp>
      <tp t="s">
        <v>RLP</v>
        <stp/>
        <stp>T&amp;T0</stp>
        <stp>AGR</stp>
        <stp>12</stp>
        <tr r="L27" s="1"/>
      </tp>
      <tp t="s">
        <v>RLP</v>
        <stp/>
        <stp>T&amp;T0</stp>
        <stp>AGR</stp>
        <stp>11</stp>
        <tr r="L26" s="1"/>
      </tp>
      <tp t="s">
        <v>Vendedor</v>
        <stp/>
        <stp>T&amp;T0</stp>
        <stp>AGR</stp>
        <stp>10</stp>
        <tr r="L25" s="1"/>
      </tp>
      <tp t="s">
        <v>Comprador</v>
        <stp/>
        <stp>T&amp;T0</stp>
        <stp>AGR</stp>
        <stp>17</stp>
        <tr r="L32" s="1"/>
      </tp>
      <tp t="s">
        <v>Comprador</v>
        <stp/>
        <stp>T&amp;T0</stp>
        <stp>AGR</stp>
        <stp>16</stp>
        <tr r="L31" s="1"/>
      </tp>
      <tp t="s">
        <v>RLP</v>
        <stp/>
        <stp>T&amp;T0</stp>
        <stp>AGR</stp>
        <stp>15</stp>
        <tr r="L30" s="1"/>
      </tp>
      <tp t="s">
        <v>Vendedor</v>
        <stp/>
        <stp>T&amp;T0</stp>
        <stp>AGR</stp>
        <stp>14</stp>
        <tr r="L29" s="1"/>
      </tp>
      <tp t="s">
        <v>09:27:22.279</v>
        <stp/>
        <stp>T&amp;T0</stp>
        <stp>DAT</stp>
        <stp>29</stp>
        <tr r="H44" s="1"/>
      </tp>
      <tp t="s">
        <v>09:27:22.357</v>
        <stp/>
        <stp>T&amp;T0</stp>
        <stp>DAT</stp>
        <stp>28</stp>
        <tr r="H43" s="1"/>
      </tp>
      <tp t="s">
        <v>09:27:23.490</v>
        <stp/>
        <stp>T&amp;T0</stp>
        <stp>DAT</stp>
        <stp>25</stp>
        <tr r="H40" s="1"/>
      </tp>
      <tp t="s">
        <v>09:27:23.490</v>
        <stp/>
        <stp>T&amp;T0</stp>
        <stp>DAT</stp>
        <stp>24</stp>
        <tr r="H39" s="1"/>
      </tp>
      <tp t="s">
        <v>09:27:22.415</v>
        <stp/>
        <stp>T&amp;T0</stp>
        <stp>DAT</stp>
        <stp>27</stp>
        <tr r="H42" s="1"/>
      </tp>
      <tp t="s">
        <v>09:27:23.490</v>
        <stp/>
        <stp>T&amp;T0</stp>
        <stp>DAT</stp>
        <stp>26</stp>
        <tr r="H41" s="1"/>
      </tp>
      <tp t="s">
        <v>09:27:24.036</v>
        <stp/>
        <stp>T&amp;T0</stp>
        <stp>DAT</stp>
        <stp>21</stp>
        <tr r="H36" s="1"/>
      </tp>
      <tp t="s">
        <v>09:27:24.036</v>
        <stp/>
        <stp>T&amp;T0</stp>
        <stp>DAT</stp>
        <stp>20</stp>
        <tr r="H35" s="1"/>
      </tp>
      <tp t="s">
        <v>09:27:24.036</v>
        <stp/>
        <stp>T&amp;T0</stp>
        <stp>DAT</stp>
        <stp>23</stp>
        <tr r="H38" s="1"/>
      </tp>
      <tp t="s">
        <v>09:27:24.036</v>
        <stp/>
        <stp>T&amp;T0</stp>
        <stp>DAT</stp>
        <stp>22</stp>
        <tr r="H37" s="1"/>
      </tp>
      <tp t="s">
        <v>09:27:24.036</v>
        <stp/>
        <stp>T&amp;T0</stp>
        <stp>DAT</stp>
        <stp>19</stp>
        <tr r="H34" s="1"/>
      </tp>
      <tp t="s">
        <v>09:27:24.036</v>
        <stp/>
        <stp>T&amp;T0</stp>
        <stp>DAT</stp>
        <stp>18</stp>
        <tr r="H33" s="1"/>
      </tp>
      <tp t="s">
        <v>09:27:24.468</v>
        <stp/>
        <stp>T&amp;T0</stp>
        <stp>DAT</stp>
        <stp>15</stp>
        <tr r="H30" s="1"/>
      </tp>
      <tp t="s">
        <v>09:27:24.932</v>
        <stp/>
        <stp>T&amp;T0</stp>
        <stp>DAT</stp>
        <stp>14</stp>
        <tr r="H29" s="1"/>
      </tp>
      <tp t="s">
        <v>09:27:24.036</v>
        <stp/>
        <stp>T&amp;T0</stp>
        <stp>DAT</stp>
        <stp>17</stp>
        <tr r="H32" s="1"/>
      </tp>
      <tp t="s">
        <v>09:27:24.154</v>
        <stp/>
        <stp>T&amp;T0</stp>
        <stp>DAT</stp>
        <stp>16</stp>
        <tr r="H31" s="1"/>
      </tp>
      <tp t="s">
        <v>09:27:26.467</v>
        <stp/>
        <stp>T&amp;T0</stp>
        <stp>DAT</stp>
        <stp>11</stp>
        <tr r="H26" s="1"/>
      </tp>
      <tp t="s">
        <v>09:27:28.455</v>
        <stp/>
        <stp>T&amp;T0</stp>
        <stp>DAT</stp>
        <stp>10</stp>
        <tr r="H25" s="1"/>
      </tp>
      <tp t="s">
        <v>09:27:25.428</v>
        <stp/>
        <stp>T&amp;T0</stp>
        <stp>DAT</stp>
        <stp>13</stp>
        <tr r="H28" s="1"/>
      </tp>
      <tp t="s">
        <v>09:27:26.202</v>
        <stp/>
        <stp>T&amp;T0</stp>
        <stp>DAT</stp>
        <stp>12</stp>
        <tr r="H2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5019-2F9E-49FD-92AF-7B72989C17E0}">
  <dimension ref="H13:L44"/>
  <sheetViews>
    <sheetView tabSelected="1" workbookViewId="0">
      <selection activeCell="H13" sqref="H13"/>
    </sheetView>
  </sheetViews>
  <sheetFormatPr defaultRowHeight="14.4" x14ac:dyDescent="0.3"/>
  <cols>
    <col min="8" max="8" width="11.109375" customWidth="1"/>
    <col min="9" max="9" width="21.109375" customWidth="1"/>
    <col min="10" max="10" width="12.109375" customWidth="1"/>
    <col min="11" max="11" width="19.21875" customWidth="1"/>
    <col min="12" max="12" width="17.109375" customWidth="1"/>
  </cols>
  <sheetData>
    <row r="13" spans="8:12" x14ac:dyDescent="0.3">
      <c r="H13" t="str">
        <f>RTD("rtdtrading.rtdserver",, "T&amp;T0", "INFO", "ATV")</f>
        <v>DOLPRO</v>
      </c>
      <c r="I13" t="str">
        <f>RTD("rtdtrading.rtdserver",, "T&amp;T0", "INFO", "TAB")</f>
        <v>Negócios</v>
      </c>
    </row>
    <row r="14" spans="8:12" x14ac:dyDescent="0.3">
      <c r="H14" t="s">
        <v>0</v>
      </c>
      <c r="I14" t="s">
        <v>1</v>
      </c>
      <c r="J14" t="s">
        <v>2</v>
      </c>
      <c r="K14" t="s">
        <v>3</v>
      </c>
      <c r="L14" t="s">
        <v>4</v>
      </c>
    </row>
    <row r="15" spans="8:12" x14ac:dyDescent="0.3">
      <c r="H15" t="str">
        <f>RTD("rtdtrading.rtdserver",, "T&amp;T0", "DAT", 0)</f>
        <v>09:27:36.791</v>
      </c>
      <c r="I15">
        <f>RTD("rtdtrading.rtdserver",, "T&amp;T0", "PRE", 0)</f>
        <v>5125</v>
      </c>
      <c r="J15">
        <f>RTD("rtdtrading.rtdserver",, "T&amp;T0", "QUL", 0)</f>
        <v>10</v>
      </c>
      <c r="K15" t="str">
        <f>RTD("rtdtrading.rtdserver",, "T&amp;T0", "AGAG", 0)</f>
        <v>XP</v>
      </c>
      <c r="L15" t="str">
        <f>RTD("rtdtrading.rtdserver",, "T&amp;T0", "AGR", 0)</f>
        <v>RLP</v>
      </c>
    </row>
    <row r="16" spans="8:12" x14ac:dyDescent="0.3">
      <c r="H16" t="str">
        <f>RTD("rtdtrading.rtdserver",, "T&amp;T0", "DAT", 1)</f>
        <v>09:27:33.870</v>
      </c>
      <c r="I16">
        <f>RTD("rtdtrading.rtdserver",, "T&amp;T0", "PRE", 1)</f>
        <v>5125.5</v>
      </c>
      <c r="J16">
        <f>RTD("rtdtrading.rtdserver",, "T&amp;T0", "QUL", 1)</f>
        <v>12</v>
      </c>
      <c r="K16" t="str">
        <f>RTD("rtdtrading.rtdserver",, "T&amp;T0", "AGAG", 1)</f>
        <v>BTG</v>
      </c>
      <c r="L16" t="str">
        <f>RTD("rtdtrading.rtdserver",, "T&amp;T0", "AGR", 1)</f>
        <v>RLP</v>
      </c>
    </row>
    <row r="17" spans="8:12" x14ac:dyDescent="0.3">
      <c r="H17" t="str">
        <f>RTD("rtdtrading.rtdserver",, "T&amp;T0", "DAT", 2)</f>
        <v>09:27:33.865</v>
      </c>
      <c r="I17">
        <f>RTD("rtdtrading.rtdserver",, "T&amp;T0", "PRE", 2)</f>
        <v>5125</v>
      </c>
      <c r="J17">
        <f>RTD("rtdtrading.rtdserver",, "T&amp;T0", "QUL", 2)</f>
        <v>6</v>
      </c>
      <c r="K17" t="str">
        <f>RTD("rtdtrading.rtdserver",, "T&amp;T0", "AGAG", 2)</f>
        <v>BTG</v>
      </c>
      <c r="L17" t="str">
        <f>RTD("rtdtrading.rtdserver",, "T&amp;T0", "AGR", 2)</f>
        <v>RLP</v>
      </c>
    </row>
    <row r="18" spans="8:12" x14ac:dyDescent="0.3">
      <c r="H18" t="str">
        <f>RTD("rtdtrading.rtdserver",, "T&amp;T0", "DAT", 3)</f>
        <v>09:27:33.089</v>
      </c>
      <c r="I18">
        <f>RTD("rtdtrading.rtdserver",, "T&amp;T0", "PRE", 3)</f>
        <v>5125.5</v>
      </c>
      <c r="J18">
        <f>RTD("rtdtrading.rtdserver",, "T&amp;T0", "QUL", 3)</f>
        <v>9</v>
      </c>
      <c r="K18" t="str">
        <f>RTD("rtdtrading.rtdserver",, "T&amp;T0", "AGAG", 3)</f>
        <v>CM Capital</v>
      </c>
      <c r="L18" t="str">
        <f>RTD("rtdtrading.rtdserver",, "T&amp;T0", "AGR", 3)</f>
        <v>RLP</v>
      </c>
    </row>
    <row r="19" spans="8:12" x14ac:dyDescent="0.3">
      <c r="H19" t="str">
        <f>RTD("rtdtrading.rtdserver",, "T&amp;T0", "DAT", 4)</f>
        <v>09:27:31.362</v>
      </c>
      <c r="I19">
        <f>RTD("rtdtrading.rtdserver",, "T&amp;T0", "PRE", 4)</f>
        <v>5125</v>
      </c>
      <c r="J19">
        <f>RTD("rtdtrading.rtdserver",, "T&amp;T0", "QUL", 4)</f>
        <v>25</v>
      </c>
      <c r="K19" t="str">
        <f>RTD("rtdtrading.rtdserver",, "T&amp;T0", "AGAG", 4)</f>
        <v>BTG</v>
      </c>
      <c r="L19" t="str">
        <f>RTD("rtdtrading.rtdserver",, "T&amp;T0", "AGR", 4)</f>
        <v>Vendedor</v>
      </c>
    </row>
    <row r="20" spans="8:12" x14ac:dyDescent="0.3">
      <c r="H20" t="str">
        <f>RTD("rtdtrading.rtdserver",, "T&amp;T0", "DAT", 5)</f>
        <v>09:27:31.362</v>
      </c>
      <c r="I20">
        <f>RTD("rtdtrading.rtdserver",, "T&amp;T0", "PRE", 5)</f>
        <v>5125</v>
      </c>
      <c r="J20">
        <f>RTD("rtdtrading.rtdserver",, "T&amp;T0", "QUL", 5)</f>
        <v>10</v>
      </c>
      <c r="K20" t="str">
        <f>RTD("rtdtrading.rtdserver",, "T&amp;T0", "AGAG", 5)</f>
        <v>BTG</v>
      </c>
      <c r="L20" t="str">
        <f>RTD("rtdtrading.rtdserver",, "T&amp;T0", "AGR", 5)</f>
        <v>Vendedor</v>
      </c>
    </row>
    <row r="21" spans="8:12" x14ac:dyDescent="0.3">
      <c r="H21" t="str">
        <f>RTD("rtdtrading.rtdserver",, "T&amp;T0", "DAT", 6)</f>
        <v>09:27:31.358</v>
      </c>
      <c r="I21">
        <f>RTD("rtdtrading.rtdserver",, "T&amp;T0", "PRE", 6)</f>
        <v>5125.5</v>
      </c>
      <c r="J21">
        <f>RTD("rtdtrading.rtdserver",, "T&amp;T0", "QUL", 6)</f>
        <v>21</v>
      </c>
      <c r="K21" t="str">
        <f>RTD("rtdtrading.rtdserver",, "T&amp;T0", "AGAG", 6)</f>
        <v>BTG</v>
      </c>
      <c r="L21" t="str">
        <f>RTD("rtdtrading.rtdserver",, "T&amp;T0", "AGR", 6)</f>
        <v>Comprador</v>
      </c>
    </row>
    <row r="22" spans="8:12" x14ac:dyDescent="0.3">
      <c r="H22" t="str">
        <f>RTD("rtdtrading.rtdserver",, "T&amp;T0", "DAT", 7)</f>
        <v>09:27:31.217</v>
      </c>
      <c r="I22">
        <f>RTD("rtdtrading.rtdserver",, "T&amp;T0", "PRE", 7)</f>
        <v>5125.5</v>
      </c>
      <c r="J22">
        <f>RTD("rtdtrading.rtdserver",, "T&amp;T0", "QUL", 7)</f>
        <v>15</v>
      </c>
      <c r="K22" t="str">
        <f>RTD("rtdtrading.rtdserver",, "T&amp;T0", "AGAG", 7)</f>
        <v>Agora</v>
      </c>
      <c r="L22" t="str">
        <f>RTD("rtdtrading.rtdserver",, "T&amp;T0", "AGR", 7)</f>
        <v>Comprador</v>
      </c>
    </row>
    <row r="23" spans="8:12" x14ac:dyDescent="0.3">
      <c r="H23" t="str">
        <f>RTD("rtdtrading.rtdserver",, "T&amp;T0", "DAT", 8)</f>
        <v>09:27:30.124</v>
      </c>
      <c r="I23">
        <f>RTD("rtdtrading.rtdserver",, "T&amp;T0", "PRE", 8)</f>
        <v>5125</v>
      </c>
      <c r="J23">
        <f>RTD("rtdtrading.rtdserver",, "T&amp;T0", "QUL", 8)</f>
        <v>20</v>
      </c>
      <c r="K23" t="str">
        <f>RTD("rtdtrading.rtdserver",, "T&amp;T0", "AGAG", 8)</f>
        <v>XP</v>
      </c>
      <c r="L23" t="str">
        <f>RTD("rtdtrading.rtdserver",, "T&amp;T0", "AGR", 8)</f>
        <v>RLP</v>
      </c>
    </row>
    <row r="24" spans="8:12" x14ac:dyDescent="0.3">
      <c r="H24" t="str">
        <f>RTD("rtdtrading.rtdserver",, "T&amp;T0", "DAT", 9)</f>
        <v>09:27:28.498</v>
      </c>
      <c r="I24">
        <f>RTD("rtdtrading.rtdserver",, "T&amp;T0", "PRE", 9)</f>
        <v>5125.5</v>
      </c>
      <c r="J24">
        <f>RTD("rtdtrading.rtdserver",, "T&amp;T0", "QUL", 9)</f>
        <v>6</v>
      </c>
      <c r="K24" t="str">
        <f>RTD("rtdtrading.rtdserver",, "T&amp;T0", "AGAG", 9)</f>
        <v>UBS</v>
      </c>
      <c r="L24" t="str">
        <f>RTD("rtdtrading.rtdserver",, "T&amp;T0", "AGR", 9)</f>
        <v>Vendedor</v>
      </c>
    </row>
    <row r="25" spans="8:12" x14ac:dyDescent="0.3">
      <c r="H25" t="str">
        <f>RTD("rtdtrading.rtdserver",, "T&amp;T0", "DAT", 10)</f>
        <v>09:27:28.455</v>
      </c>
      <c r="I25">
        <f>RTD("rtdtrading.rtdserver",, "T&amp;T0", "PRE", 10)</f>
        <v>5125.5</v>
      </c>
      <c r="J25">
        <f>RTD("rtdtrading.rtdserver",, "T&amp;T0", "QUL", 10)</f>
        <v>21</v>
      </c>
      <c r="K25" t="str">
        <f>RTD("rtdtrading.rtdserver",, "T&amp;T0", "AGAG", 10)</f>
        <v>Necton</v>
      </c>
      <c r="L25" t="str">
        <f>RTD("rtdtrading.rtdserver",, "T&amp;T0", "AGR", 10)</f>
        <v>Vendedor</v>
      </c>
    </row>
    <row r="26" spans="8:12" x14ac:dyDescent="0.3">
      <c r="H26" t="str">
        <f>RTD("rtdtrading.rtdserver",, "T&amp;T0", "DAT", 11)</f>
        <v>09:27:26.467</v>
      </c>
      <c r="I26">
        <f>RTD("rtdtrading.rtdserver",, "T&amp;T0", "PRE", 11)</f>
        <v>5125.5</v>
      </c>
      <c r="J26">
        <f>RTD("rtdtrading.rtdserver",, "T&amp;T0", "QUL", 11)</f>
        <v>14</v>
      </c>
      <c r="K26" t="str">
        <f>RTD("rtdtrading.rtdserver",, "T&amp;T0", "AGAG", 11)</f>
        <v>Santander</v>
      </c>
      <c r="L26" t="str">
        <f>RTD("rtdtrading.rtdserver",, "T&amp;T0", "AGR", 11)</f>
        <v>RLP</v>
      </c>
    </row>
    <row r="27" spans="8:12" x14ac:dyDescent="0.3">
      <c r="H27" t="str">
        <f>RTD("rtdtrading.rtdserver",, "T&amp;T0", "DAT", 12)</f>
        <v>09:27:26.202</v>
      </c>
      <c r="I27">
        <f>RTD("rtdtrading.rtdserver",, "T&amp;T0", "PRE", 12)</f>
        <v>5126</v>
      </c>
      <c r="J27">
        <f>RTD("rtdtrading.rtdserver",, "T&amp;T0", "QUL", 12)</f>
        <v>40</v>
      </c>
      <c r="K27" t="str">
        <f>RTD("rtdtrading.rtdserver",, "T&amp;T0", "AGAG", 12)</f>
        <v>BTG</v>
      </c>
      <c r="L27" t="str">
        <f>RTD("rtdtrading.rtdserver",, "T&amp;T0", "AGR", 12)</f>
        <v>RLP</v>
      </c>
    </row>
    <row r="28" spans="8:12" x14ac:dyDescent="0.3">
      <c r="H28" t="str">
        <f>RTD("rtdtrading.rtdserver",, "T&amp;T0", "DAT", 13)</f>
        <v>09:27:25.428</v>
      </c>
      <c r="I28">
        <f>RTD("rtdtrading.rtdserver",, "T&amp;T0", "PRE", 13)</f>
        <v>5126</v>
      </c>
      <c r="J28">
        <f>RTD("rtdtrading.rtdserver",, "T&amp;T0", "QUL", 13)</f>
        <v>15</v>
      </c>
      <c r="K28" t="str">
        <f>RTD("rtdtrading.rtdserver",, "T&amp;T0", "AGAG", 13)</f>
        <v>BTG</v>
      </c>
      <c r="L28" t="str">
        <f>RTD("rtdtrading.rtdserver",, "T&amp;T0", "AGR", 13)</f>
        <v>RLP</v>
      </c>
    </row>
    <row r="29" spans="8:12" x14ac:dyDescent="0.3">
      <c r="H29" t="str">
        <f>RTD("rtdtrading.rtdserver",, "T&amp;T0", "DAT", 14)</f>
        <v>09:27:24.932</v>
      </c>
      <c r="I29">
        <f>RTD("rtdtrading.rtdserver",, "T&amp;T0", "PRE", 14)</f>
        <v>5125.5</v>
      </c>
      <c r="J29">
        <f>RTD("rtdtrading.rtdserver",, "T&amp;T0", "QUL", 14)</f>
        <v>25</v>
      </c>
      <c r="K29" t="str">
        <f>RTD("rtdtrading.rtdserver",, "T&amp;T0", "AGAG", 14)</f>
        <v>Necton</v>
      </c>
      <c r="L29" t="str">
        <f>RTD("rtdtrading.rtdserver",, "T&amp;T0", "AGR", 14)</f>
        <v>Vendedor</v>
      </c>
    </row>
    <row r="30" spans="8:12" x14ac:dyDescent="0.3">
      <c r="H30" t="str">
        <f>RTD("rtdtrading.rtdserver",, "T&amp;T0", "DAT", 15)</f>
        <v>09:27:24.468</v>
      </c>
      <c r="I30">
        <f>RTD("rtdtrading.rtdserver",, "T&amp;T0", "PRE", 15)</f>
        <v>5125.5</v>
      </c>
      <c r="J30">
        <f>RTD("rtdtrading.rtdserver",, "T&amp;T0", "QUL", 15)</f>
        <v>8</v>
      </c>
      <c r="K30" t="str">
        <f>RTD("rtdtrading.rtdserver",, "T&amp;T0", "AGAG", 15)</f>
        <v>Santander</v>
      </c>
      <c r="L30" t="str">
        <f>RTD("rtdtrading.rtdserver",, "T&amp;T0", "AGR", 15)</f>
        <v>RLP</v>
      </c>
    </row>
    <row r="31" spans="8:12" x14ac:dyDescent="0.3">
      <c r="H31" t="str">
        <f>RTD("rtdtrading.rtdserver",, "T&amp;T0", "DAT", 16)</f>
        <v>09:27:24.154</v>
      </c>
      <c r="I31">
        <f>RTD("rtdtrading.rtdserver",, "T&amp;T0", "PRE", 16)</f>
        <v>5126</v>
      </c>
      <c r="J31">
        <f>RTD("rtdtrading.rtdserver",, "T&amp;T0", "QUL", 16)</f>
        <v>6</v>
      </c>
      <c r="K31" t="str">
        <f>RTD("rtdtrading.rtdserver",, "T&amp;T0", "AGAG", 16)</f>
        <v>Ideal</v>
      </c>
      <c r="L31" t="str">
        <f>RTD("rtdtrading.rtdserver",, "T&amp;T0", "AGR", 16)</f>
        <v>Comprador</v>
      </c>
    </row>
    <row r="32" spans="8:12" x14ac:dyDescent="0.3">
      <c r="H32" t="str">
        <f>RTD("rtdtrading.rtdserver",, "T&amp;T0", "DAT", 17)</f>
        <v>09:27:24.036</v>
      </c>
      <c r="I32">
        <f>RTD("rtdtrading.rtdserver",, "T&amp;T0", "PRE", 17)</f>
        <v>5125.5</v>
      </c>
      <c r="J32">
        <f>RTD("rtdtrading.rtdserver",, "T&amp;T0", "QUL", 17)</f>
        <v>10</v>
      </c>
      <c r="K32" t="str">
        <f>RTD("rtdtrading.rtdserver",, "T&amp;T0", "AGAG", 17)</f>
        <v>Ideal</v>
      </c>
      <c r="L32" t="str">
        <f>RTD("rtdtrading.rtdserver",, "T&amp;T0", "AGR", 17)</f>
        <v>Comprador</v>
      </c>
    </row>
    <row r="33" spans="8:12" x14ac:dyDescent="0.3">
      <c r="H33" t="str">
        <f>RTD("rtdtrading.rtdserver",, "T&amp;T0", "DAT", 18)</f>
        <v>09:27:24.036</v>
      </c>
      <c r="I33">
        <f>RTD("rtdtrading.rtdserver",, "T&amp;T0", "PRE", 18)</f>
        <v>5125.5</v>
      </c>
      <c r="J33">
        <f>RTD("rtdtrading.rtdserver",, "T&amp;T0", "QUL", 18)</f>
        <v>20</v>
      </c>
      <c r="K33" t="str">
        <f>RTD("rtdtrading.rtdserver",, "T&amp;T0", "AGAG", 18)</f>
        <v>Ideal</v>
      </c>
      <c r="L33" t="str">
        <f>RTD("rtdtrading.rtdserver",, "T&amp;T0", "AGR", 18)</f>
        <v>Comprador</v>
      </c>
    </row>
    <row r="34" spans="8:12" x14ac:dyDescent="0.3">
      <c r="H34" t="str">
        <f>RTD("rtdtrading.rtdserver",, "T&amp;T0", "DAT", 19)</f>
        <v>09:27:24.036</v>
      </c>
      <c r="I34">
        <f>RTD("rtdtrading.rtdserver",, "T&amp;T0", "PRE", 19)</f>
        <v>5125.5</v>
      </c>
      <c r="J34">
        <f>RTD("rtdtrading.rtdserver",, "T&amp;T0", "QUL", 19)</f>
        <v>6</v>
      </c>
      <c r="K34" t="str">
        <f>RTD("rtdtrading.rtdserver",, "T&amp;T0", "AGAG", 19)</f>
        <v>Ideal</v>
      </c>
      <c r="L34" t="str">
        <f>RTD("rtdtrading.rtdserver",, "T&amp;T0", "AGR", 19)</f>
        <v>Comprador</v>
      </c>
    </row>
    <row r="35" spans="8:12" x14ac:dyDescent="0.3">
      <c r="H35" t="str">
        <f>RTD("rtdtrading.rtdserver",, "T&amp;T0", "DAT", 20)</f>
        <v>09:27:24.036</v>
      </c>
      <c r="I35">
        <f>RTD("rtdtrading.rtdserver",, "T&amp;T0", "PRE", 20)</f>
        <v>5125.5</v>
      </c>
      <c r="J35">
        <f>RTD("rtdtrading.rtdserver",, "T&amp;T0", "QUL", 20)</f>
        <v>25</v>
      </c>
      <c r="K35" t="str">
        <f>RTD("rtdtrading.rtdserver",, "T&amp;T0", "AGAG", 20)</f>
        <v>Ideal</v>
      </c>
      <c r="L35" t="str">
        <f>RTD("rtdtrading.rtdserver",, "T&amp;T0", "AGR", 20)</f>
        <v>Comprador</v>
      </c>
    </row>
    <row r="36" spans="8:12" x14ac:dyDescent="0.3">
      <c r="H36" t="str">
        <f>RTD("rtdtrading.rtdserver",, "T&amp;T0", "DAT", 21)</f>
        <v>09:27:24.036</v>
      </c>
      <c r="I36">
        <f>RTD("rtdtrading.rtdserver",, "T&amp;T0", "PRE", 21)</f>
        <v>5125.5</v>
      </c>
      <c r="J36">
        <f>RTD("rtdtrading.rtdserver",, "T&amp;T0", "QUL", 21)</f>
        <v>25</v>
      </c>
      <c r="K36" t="str">
        <f>RTD("rtdtrading.rtdserver",, "T&amp;T0", "AGAG", 21)</f>
        <v>Ideal</v>
      </c>
      <c r="L36" t="str">
        <f>RTD("rtdtrading.rtdserver",, "T&amp;T0", "AGR", 21)</f>
        <v>Comprador</v>
      </c>
    </row>
    <row r="37" spans="8:12" x14ac:dyDescent="0.3">
      <c r="H37" t="str">
        <f>RTD("rtdtrading.rtdserver",, "T&amp;T0", "DAT", 22)</f>
        <v>09:27:24.036</v>
      </c>
      <c r="I37">
        <f>RTD("rtdtrading.rtdserver",, "T&amp;T0", "PRE", 22)</f>
        <v>5125.5</v>
      </c>
      <c r="J37">
        <f>RTD("rtdtrading.rtdserver",, "T&amp;T0", "QUL", 22)</f>
        <v>25</v>
      </c>
      <c r="K37" t="str">
        <f>RTD("rtdtrading.rtdserver",, "T&amp;T0", "AGAG", 22)</f>
        <v>Ideal</v>
      </c>
      <c r="L37" t="str">
        <f>RTD("rtdtrading.rtdserver",, "T&amp;T0", "AGR", 22)</f>
        <v>Comprador</v>
      </c>
    </row>
    <row r="38" spans="8:12" x14ac:dyDescent="0.3">
      <c r="H38" t="str">
        <f>RTD("rtdtrading.rtdserver",, "T&amp;T0", "DAT", 23)</f>
        <v>09:27:24.036</v>
      </c>
      <c r="I38">
        <f>RTD("rtdtrading.rtdserver",, "T&amp;T0", "PRE", 23)</f>
        <v>5125.5</v>
      </c>
      <c r="J38">
        <f>RTD("rtdtrading.rtdserver",, "T&amp;T0", "QUL", 23)</f>
        <v>22</v>
      </c>
      <c r="K38" t="str">
        <f>RTD("rtdtrading.rtdserver",, "T&amp;T0", "AGAG", 23)</f>
        <v>Ideal</v>
      </c>
      <c r="L38" t="str">
        <f>RTD("rtdtrading.rtdserver",, "T&amp;T0", "AGR", 23)</f>
        <v>Comprador</v>
      </c>
    </row>
    <row r="39" spans="8:12" x14ac:dyDescent="0.3">
      <c r="H39" t="str">
        <f>RTD("rtdtrading.rtdserver",, "T&amp;T0", "DAT", 24)</f>
        <v>09:27:23.490</v>
      </c>
      <c r="I39">
        <f>RTD("rtdtrading.rtdserver",, "T&amp;T0", "PRE", 24)</f>
        <v>5125</v>
      </c>
      <c r="J39">
        <f>RTD("rtdtrading.rtdserver",, "T&amp;T0", "QUL", 24)</f>
        <v>6</v>
      </c>
      <c r="K39" t="str">
        <f>RTD("rtdtrading.rtdserver",, "T&amp;T0", "AGAG", 24)</f>
        <v>Agora</v>
      </c>
      <c r="L39" t="str">
        <f>RTD("rtdtrading.rtdserver",, "T&amp;T0", "AGR", 24)</f>
        <v>Vendedor</v>
      </c>
    </row>
    <row r="40" spans="8:12" x14ac:dyDescent="0.3">
      <c r="H40" t="str">
        <f>RTD("rtdtrading.rtdserver",, "T&amp;T0", "DAT", 25)</f>
        <v>09:27:23.490</v>
      </c>
      <c r="I40">
        <f>RTD("rtdtrading.rtdserver",, "T&amp;T0", "PRE", 25)</f>
        <v>5125</v>
      </c>
      <c r="J40">
        <f>RTD("rtdtrading.rtdserver",, "T&amp;T0", "QUL", 25)</f>
        <v>6</v>
      </c>
      <c r="K40" t="str">
        <f>RTD("rtdtrading.rtdserver",, "T&amp;T0", "AGAG", 25)</f>
        <v>Agora</v>
      </c>
      <c r="L40" t="str">
        <f>RTD("rtdtrading.rtdserver",, "T&amp;T0", "AGR", 25)</f>
        <v>Vendedor</v>
      </c>
    </row>
    <row r="41" spans="8:12" x14ac:dyDescent="0.3">
      <c r="H41" t="str">
        <f>RTD("rtdtrading.rtdserver",, "T&amp;T0", "DAT", 26)</f>
        <v>09:27:23.490</v>
      </c>
      <c r="I41">
        <f>RTD("rtdtrading.rtdserver",, "T&amp;T0", "PRE", 26)</f>
        <v>5125</v>
      </c>
      <c r="J41">
        <f>RTD("rtdtrading.rtdserver",, "T&amp;T0", "QUL", 26)</f>
        <v>50</v>
      </c>
      <c r="K41" t="str">
        <f>RTD("rtdtrading.rtdserver",, "T&amp;T0", "AGAG", 26)</f>
        <v>Agora</v>
      </c>
      <c r="L41" t="str">
        <f>RTD("rtdtrading.rtdserver",, "T&amp;T0", "AGR", 26)</f>
        <v>Vendedor</v>
      </c>
    </row>
    <row r="42" spans="8:12" x14ac:dyDescent="0.3">
      <c r="H42" t="str">
        <f>RTD("rtdtrading.rtdserver",, "T&amp;T0", "DAT", 27)</f>
        <v>09:27:22.415</v>
      </c>
      <c r="I42">
        <f>RTD("rtdtrading.rtdserver",, "T&amp;T0", "PRE", 27)</f>
        <v>5125</v>
      </c>
      <c r="J42">
        <f>RTD("rtdtrading.rtdserver",, "T&amp;T0", "QUL", 27)</f>
        <v>22</v>
      </c>
      <c r="K42" t="str">
        <f>RTD("rtdtrading.rtdserver",, "T&amp;T0", "AGAG", 27)</f>
        <v>Necton</v>
      </c>
      <c r="L42" t="str">
        <f>RTD("rtdtrading.rtdserver",, "T&amp;T0", "AGR", 27)</f>
        <v>Vendedor</v>
      </c>
    </row>
    <row r="43" spans="8:12" x14ac:dyDescent="0.3">
      <c r="H43" t="str">
        <f>RTD("rtdtrading.rtdserver",, "T&amp;T0", "DAT", 28)</f>
        <v>09:27:22.357</v>
      </c>
      <c r="I43">
        <f>RTD("rtdtrading.rtdserver",, "T&amp;T0", "PRE", 28)</f>
        <v>5125</v>
      </c>
      <c r="J43">
        <f>RTD("rtdtrading.rtdserver",, "T&amp;T0", "QUL", 28)</f>
        <v>10</v>
      </c>
      <c r="K43" t="str">
        <f>RTD("rtdtrading.rtdserver",, "T&amp;T0", "AGAG", 28)</f>
        <v>XP</v>
      </c>
      <c r="L43" t="str">
        <f>RTD("rtdtrading.rtdserver",, "T&amp;T0", "AGR", 28)</f>
        <v>RLP</v>
      </c>
    </row>
    <row r="44" spans="8:12" x14ac:dyDescent="0.3">
      <c r="H44" t="str">
        <f>RTD("rtdtrading.rtdserver",, "T&amp;T0", "DAT", 29)</f>
        <v>09:27:22.279</v>
      </c>
      <c r="I44">
        <f>RTD("rtdtrading.rtdserver",, "T&amp;T0", "PRE", 29)</f>
        <v>5125.5</v>
      </c>
      <c r="J44">
        <f>RTD("rtdtrading.rtdserver",, "T&amp;T0", "QUL", 29)</f>
        <v>11</v>
      </c>
      <c r="K44" t="str">
        <f>RTD("rtdtrading.rtdserver",, "T&amp;T0", "AGAG", 29)</f>
        <v>Ideal</v>
      </c>
      <c r="L44" t="str">
        <f>RTD("rtdtrading.rtdserver",, "T&amp;T0", "AGR", 29)</f>
        <v>Comprador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machado</dc:creator>
  <cp:lastModifiedBy>pedro machado</cp:lastModifiedBy>
  <dcterms:created xsi:type="dcterms:W3CDTF">2026-08-18T23:10:17Z</dcterms:created>
  <dcterms:modified xsi:type="dcterms:W3CDTF">2026-08-18T23:32:45Z</dcterms:modified>
</cp:coreProperties>
</file>